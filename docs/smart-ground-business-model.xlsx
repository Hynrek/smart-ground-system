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Inventory" sheetId="2" state="visible" r:id="rId4"/>
    <sheet name="Reference Deal" sheetId="3" state="visible" r:id="rId5"/>
    <sheet name="5-Year 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<sst xmlns="http://schemas.openxmlformats.org/spreadsheetml/2006/main" count="154" uniqueCount="142">
  <si>
    <t xml:space="preserve">Smart Ground — Model Assumptions (all blue cells editable)</t>
  </si>
  <si>
    <t xml:space="preserve">HARDWARE — COST &amp; PRICING</t>
  </si>
  <si>
    <t xml:space="preserve">SmartBox BOM cost</t>
  </si>
  <si>
    <t xml:space="preserve">CHF — user estimate 70–80 (parts only)</t>
  </si>
  <si>
    <t xml:space="preserve">SmartBox assembly &amp; test</t>
  </si>
  <si>
    <t xml:space="preserve">CHF per unit</t>
  </si>
  <si>
    <t xml:space="preserve">SmartBox sale price</t>
  </si>
  <si>
    <t xml:space="preserve">CHF — anchored to Promatic Claymate 3-trap wireless kit: USD 675 / 3 traps (promaticusparts.com)</t>
  </si>
  <si>
    <t xml:space="preserve">Node hardware cost</t>
  </si>
  <si>
    <t xml:space="preserve">CHF — est., industrial SBC + enclosure</t>
  </si>
  <si>
    <t xml:space="preserve">Node rental price</t>
  </si>
  <si>
    <t xml:space="preserve">CHF / month</t>
  </si>
  <si>
    <t xml:space="preserve">Hub hardware cost</t>
  </si>
  <si>
    <t xml:space="preserve">CHF — est.</t>
  </si>
  <si>
    <t xml:space="preserve">Hub rental price</t>
  </si>
  <si>
    <t xml:space="preserve">SERVICES</t>
  </si>
  <si>
    <t xml:space="preserve">Installation day rate (billed)</t>
  </si>
  <si>
    <t xml:space="preserve">CHF / day</t>
  </si>
  <si>
    <t xml:space="preserve">Install days per range (4 Plätze)</t>
  </si>
  <si>
    <t xml:space="preserve">days</t>
  </si>
  <si>
    <t xml:space="preserve">Travel &amp; material per install</t>
  </si>
  <si>
    <t xml:space="preserve">CHF</t>
  </si>
  <si>
    <t xml:space="preserve">Internal cost per install day</t>
  </si>
  <si>
    <t xml:space="preserve">CHF / day (own time)</t>
  </si>
  <si>
    <t xml:space="preserve">RECURRING FEES</t>
  </si>
  <si>
    <t xml:space="preserve">Base fee (platform, service, box replacement)</t>
  </si>
  <si>
    <t xml:space="preserve">CHF / month per range</t>
  </si>
  <si>
    <t xml:space="preserve">PayPerClay — baseline</t>
  </si>
  <si>
    <t xml:space="preserve">CHF / clay (2 Rappen)</t>
  </si>
  <si>
    <t xml:space="preserve">PayPerClay — during financing</t>
  </si>
  <si>
    <t xml:space="preserve">CHF / clay (5 Rappen)</t>
  </si>
  <si>
    <t xml:space="preserve">Financing: upfront share (Selbstkostenbeitrag)</t>
  </si>
  <si>
    <t xml:space="preserve">of one-time total</t>
  </si>
  <si>
    <t xml:space="preserve">Financing: minimum monthly repayment</t>
  </si>
  <si>
    <t xml:space="preserve">VOLUME SCENARIOS — CLAYS / YEAR PER RANGE</t>
  </si>
  <si>
    <t xml:space="preserve">Low (small club, seasonal)</t>
  </si>
  <si>
    <t xml:space="preserve">Hegen-type club: ~112 h season, see reality check below</t>
  </si>
  <si>
    <t xml:space="preserve">Mid (active 4-Platz range)</t>
  </si>
  <si>
    <t xml:space="preserve">≈ Hegen reality incl. club trainings + competitions</t>
  </si>
  <si>
    <t xml:space="preserve">High (busy commercial range)</t>
  </si>
  <si>
    <t xml:space="preserve">commercial range, open daily</t>
  </si>
  <si>
    <t xml:space="preserve">REFERENCE DEAL (4 PLÄTZE)</t>
  </si>
  <si>
    <t xml:space="preserve">Throwing machines</t>
  </si>
  <si>
    <t xml:space="preserve">pcs</t>
  </si>
  <si>
    <t xml:space="preserve">Spare / relay SmartBoxes</t>
  </si>
  <si>
    <t xml:space="preserve">Nodes</t>
  </si>
  <si>
    <t xml:space="preserve">1 per Platz</t>
  </si>
  <si>
    <t xml:space="preserve">Hub</t>
  </si>
  <si>
    <t xml:space="preserve">RUNNING COSTS PER RANGE / YEAR</t>
  </si>
  <si>
    <t xml:space="preserve">Cloud hosting &amp; connectivity</t>
  </si>
  <si>
    <t xml:space="preserve">CHF / year</t>
  </si>
  <si>
    <t xml:space="preserve">Support effort</t>
  </si>
  <si>
    <t xml:space="preserve">CHF / year (≈ 20 h)</t>
  </si>
  <si>
    <t xml:space="preserve">Warranty box replacements</t>
  </si>
  <si>
    <t xml:space="preserve">boxes / year</t>
  </si>
  <si>
    <t xml:space="preserve">Hub + Node amortization period</t>
  </si>
  <si>
    <t xml:space="preserve">years</t>
  </si>
  <si>
    <t xml:space="preserve">GROWTH — 5-YEAR PROJECTION</t>
  </si>
  <si>
    <t xml:space="preserve">New ranges signed per year</t>
  </si>
  <si>
    <t xml:space="preserve">Avg SmartBoxes per range (incl. spares)</t>
  </si>
  <si>
    <t xml:space="preserve">Avg nodes per range</t>
  </si>
  <si>
    <t xml:space="preserve">Avg clays per range / year</t>
  </si>
  <si>
    <t xml:space="preserve">clays — mix of club and commercial ranges</t>
  </si>
  <si>
    <t xml:space="preserve">VOLUME REALITY CHECK — FLINTENSCHIESSANLAGE HEGEN</t>
  </si>
  <si>
    <t xml:space="preserve">Operating hours / year</t>
  </si>
  <si>
    <t xml:space="preserve">from published 2026 schedule: 4 Wed×2h (May) + 18 Wed×4h (Jun–Sep) + 16 Sat×2h</t>
  </si>
  <si>
    <t xml:space="preserve">Avg clays thrown per operating hour (whole Anlage)</t>
  </si>
  <si>
    <t xml:space="preserve">est. — verify with pilot; 4 Plätze, mixed usage</t>
  </si>
  <si>
    <t xml:space="preserve">Derived clays / year — public hours</t>
  </si>
  <si>
    <t xml:space="preserve">hours × clays/h</t>
  </si>
  <si>
    <t xml:space="preserve">JPCE club trainings clays / year</t>
  </si>
  <si>
    <t xml:space="preserve">est.: 13 Mo-Trainings + 2 Wettkampf-Trainings (5h) + Clubmeisterschaft, ~1000/event</t>
  </si>
  <si>
    <t xml:space="preserve">Competition days clays / year</t>
  </si>
  <si>
    <t xml:space="preserve">est.: SM Compak (25.4.) + Goldene Taube 100T (20.6.), full days</t>
  </si>
  <si>
    <t xml:space="preserve">TOTAL derived clays / year (Hegen incl. club)</t>
  </si>
  <si>
    <t xml:space="preserve">→ between Low and Mid scenario</t>
  </si>
  <si>
    <t xml:space="preserve">Inventory &amp; Price List</t>
  </si>
  <si>
    <t xml:space="preserve">Item</t>
  </si>
  <si>
    <t xml:space="preserve">Description</t>
  </si>
  <si>
    <t xml:space="preserve">Unit cost (CHF)</t>
  </si>
  <si>
    <t xml:space="preserve">Sale price (CHF)</t>
  </si>
  <si>
    <t xml:space="preserve">Rental (CHF/mo)</t>
  </si>
  <si>
    <t xml:space="preserve">Margin (CHF, /yr for rentals)</t>
  </si>
  <si>
    <t xml:space="preserve">Margin %</t>
  </si>
  <si>
    <t xml:space="preserve">SmartBox</t>
  </si>
  <si>
    <t xml:space="preserve">Per machine + spares/relays; sold</t>
  </si>
  <si>
    <t xml:space="preserve">Node</t>
  </si>
  <si>
    <t xml:space="preserve">1 per Platz; rented, stays our property</t>
  </si>
  <si>
    <t xml:space="preserve">1 per range; rented, stays our property</t>
  </si>
  <si>
    <t xml:space="preserve">Installation &amp; setup</t>
  </si>
  <si>
    <t xml:space="preserve">Per 4-Platz range; on-site, config, training</t>
  </si>
  <si>
    <t xml:space="preserve">Note: unit costs are estimates — replace with real BOM once known (blue cells on Assumptions).</t>
  </si>
  <si>
    <t xml:space="preserve">Reference Deal — 4 Plätze, 32 machines</t>
  </si>
  <si>
    <t xml:space="preserve">ONE-TIME (SALE + SETUP)</t>
  </si>
  <si>
    <t xml:space="preserve">Qty</t>
  </si>
  <si>
    <t xml:space="preserve">Unit price</t>
  </si>
  <si>
    <t xml:space="preserve">Revenue</t>
  </si>
  <si>
    <t xml:space="preserve">Unit cost</t>
  </si>
  <si>
    <t xml:space="preserve">Cost</t>
  </si>
  <si>
    <t xml:space="preserve">Margin</t>
  </si>
  <si>
    <t xml:space="preserve">SmartBoxes (machines + spares)</t>
  </si>
  <si>
    <t xml:space="preserve">Hub + Nodes (our capex — rented out)</t>
  </si>
  <si>
    <t xml:space="preserve">Total one-time</t>
  </si>
  <si>
    <t xml:space="preserve">RECURRING PER YEAR</t>
  </si>
  <si>
    <t xml:space="preserve">Low</t>
  </si>
  <si>
    <t xml:space="preserve">Mid</t>
  </si>
  <si>
    <t xml:space="preserve">High</t>
  </si>
  <si>
    <t xml:space="preserve">Clays / year</t>
  </si>
  <si>
    <t xml:space="preserve">Base fee</t>
  </si>
  <si>
    <t xml:space="preserve">Node rental</t>
  </si>
  <si>
    <t xml:space="preserve">Hub rental</t>
  </si>
  <si>
    <t xml:space="preserve">PayPerClay (baseline)</t>
  </si>
  <si>
    <t xml:space="preserve">Total recurring revenue</t>
  </si>
  <si>
    <t xml:space="preserve">Running costs (hosting, support, replacements, amortization)</t>
  </si>
  <si>
    <t xml:space="preserve">Recurring margin / year</t>
  </si>
  <si>
    <t xml:space="preserve">FINANCING VARIANT ("SELBSTKOSTENBEITRAG")</t>
  </si>
  <si>
    <t xml:space="preserve">One-time total (list price)</t>
  </si>
  <si>
    <t xml:space="preserve">Upfront payment</t>
  </si>
  <si>
    <t xml:space="preserve">Financed balance</t>
  </si>
  <si>
    <t xml:space="preserve">Extra fee per clay (5 − 2 Rp)</t>
  </si>
  <si>
    <t xml:space="preserve">Clays needed to repay</t>
  </si>
  <si>
    <t xml:space="preserve">Years to repay (Low / Mid / High)</t>
  </si>
  <si>
    <t xml:space="preserve">Max months with minimum repayment</t>
  </si>
  <si>
    <t xml:space="preserve">5-Year Projection (CHF) — average range profile from Assumptions</t>
  </si>
  <si>
    <t xml:space="preserve">Year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</si>
  <si>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</si>
  <si>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</si>
  <si>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</si>
  <si>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</si>
  <si>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</si>
  <si>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New ranges signed</t>
  </si>
  <si>
    <t xml:space="preserve">Cumulative ranges</t>
  </si>
  <si>
    <t xml:space="preserve">Avg active ranges (new count ½ year)</t>
  </si>
  <si>
    <t xml:space="preserve">ONE-TIME (HARDWARE SALES + SETUP)</t>
  </si>
  <si>
    <t xml:space="preserve">Costs (boxes, install, hub/node capex)</t>
  </si>
  <si>
    <t xml:space="preserve">One-time margin</t>
  </si>
  <si>
    <t xml:space="preserve">RECURRING (FEES + PAYPERCLAY)</t>
  </si>
  <si>
    <t xml:space="preserve">Running costs (hosting, support, replacements)</t>
  </si>
  <si>
    <t xml:space="preserve">Recurring margin</t>
  </si>
  <si>
    <t xml:space="preserve">Total margin</t>
  </si>
  <si>
    <t xml:space="preserve">Cumulative margin</t>
  </si>
  <si>
    <t xml:space="preserve">Excludes: your salaries, development time, marketing, taxes. This is contribution margin, not profit.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</si>
</sst>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"/>
    <numFmt numFmtId="167" formatCode="#,##0.00;\(#,##0.00\);\-"/>
    <numFmt numFmtId="168" formatCode="0.0%"/>
    <numFmt numFmtId="169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6" min="4" style="1" width="1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/>
      <c r="C3" s="3"/>
    </row>
    <row r="4" customFormat="false" ht="15" hidden="false" customHeight="true" outlineLevel="0" collapsed="false">
      <c r="A4" s="4" t="s">
        <v>2</v>
      </c>
      <c r="B4" s="5" t="n">
        <v>75</v>
      </c>
      <c r="C4" s="4" t="s">
        <v>3</v>
      </c>
    </row>
    <row r="5" customFormat="false" ht="15" hidden="false" customHeight="true" outlineLevel="0" collapsed="false">
      <c r="A5" s="4" t="s">
        <v>4</v>
      </c>
      <c r="B5" s="5" t="n">
        <v>40</v>
      </c>
      <c r="C5" s="4" t="s">
        <v>5</v>
      </c>
    </row>
    <row r="6" customFormat="false" ht="15" hidden="false" customHeight="true" outlineLevel="0" collapsed="false">
      <c r="A6" s="4" t="s">
        <v>6</v>
      </c>
      <c r="B6" s="5" t="n">
        <v>250</v>
      </c>
      <c r="C6" s="4" t="s">
        <v>7</v>
      </c>
    </row>
    <row r="7" customFormat="false" ht="15" hidden="false" customHeight="true" outlineLevel="0" collapsed="false">
      <c r="A7" s="4" t="s">
        <v>8</v>
      </c>
      <c r="B7" s="5" t="n">
        <v>250</v>
      </c>
      <c r="C7" s="4" t="s">
        <v>9</v>
      </c>
    </row>
    <row r="8" customFormat="false" ht="15" hidden="false" customHeight="true" outlineLevel="0" collapsed="false">
      <c r="A8" s="4" t="s">
        <v>10</v>
      </c>
      <c r="B8" s="5" t="n">
        <v>25</v>
      </c>
      <c r="C8" s="4" t="s">
        <v>11</v>
      </c>
    </row>
    <row r="9" customFormat="false" ht="15" hidden="false" customHeight="true" outlineLevel="0" collapsed="false">
      <c r="A9" s="4" t="s">
        <v>12</v>
      </c>
      <c r="B9" s="5" t="n">
        <v>400</v>
      </c>
      <c r="C9" s="4" t="s">
        <v>13</v>
      </c>
    </row>
    <row r="10" customFormat="false" ht="15" hidden="false" customHeight="true" outlineLevel="0" collapsed="false">
      <c r="A10" s="4" t="s">
        <v>14</v>
      </c>
      <c r="B10" s="5" t="n">
        <v>50</v>
      </c>
      <c r="C10" s="4" t="s">
        <v>11</v>
      </c>
    </row>
    <row r="12" customFormat="false" ht="15" hidden="false" customHeight="true" outlineLevel="0" collapsed="false">
      <c r="A12" s="3" t="s">
        <v>15</v>
      </c>
      <c r="B12" s="3"/>
      <c r="C12" s="3"/>
    </row>
    <row r="13" customFormat="false" ht="15" hidden="false" customHeight="true" outlineLevel="0" collapsed="false">
      <c r="A13" s="4" t="s">
        <v>16</v>
      </c>
      <c r="B13" s="5" t="n">
        <v>1200</v>
      </c>
      <c r="C13" s="4" t="s">
        <v>17</v>
      </c>
    </row>
    <row r="14" customFormat="false" ht="15" hidden="false" customHeight="true" outlineLevel="0" collapsed="false">
      <c r="A14" s="4" t="s">
        <v>18</v>
      </c>
      <c r="B14" s="6" t="n">
        <v>2</v>
      </c>
      <c r="C14" s="4" t="s">
        <v>19</v>
      </c>
    </row>
    <row r="15" customFormat="false" ht="15" hidden="false" customHeight="true" outlineLevel="0" collapsed="false">
      <c r="A15" s="4" t="s">
        <v>20</v>
      </c>
      <c r="B15" s="5" t="n">
        <v>500</v>
      </c>
      <c r="C15" s="4" t="s">
        <v>21</v>
      </c>
    </row>
    <row r="16" customFormat="false" ht="15" hidden="false" customHeight="true" outlineLevel="0" collapsed="false">
      <c r="A16" s="4" t="s">
        <v>22</v>
      </c>
      <c r="B16" s="5" t="n">
        <v>400</v>
      </c>
      <c r="C16" s="4" t="s">
        <v>23</v>
      </c>
    </row>
    <row r="18" customFormat="false" ht="15" hidden="false" customHeight="true" outlineLevel="0" collapsed="false">
      <c r="A18" s="3" t="s">
        <v>24</v>
      </c>
      <c r="B18" s="3"/>
      <c r="C18" s="3"/>
    </row>
    <row r="19" customFormat="false" ht="15" hidden="false" customHeight="true" outlineLevel="0" collapsed="false">
      <c r="A19" s="4" t="s">
        <v>25</v>
      </c>
      <c r="B19" s="5" t="n">
        <v>50</v>
      </c>
      <c r="C19" s="4" t="s">
        <v>26</v>
      </c>
    </row>
    <row r="20" customFormat="false" ht="15" hidden="false" customHeight="true" outlineLevel="0" collapsed="false">
      <c r="A20" s="4" t="s">
        <v>27</v>
      </c>
      <c r="B20" s="7" t="n">
        <v>0.02</v>
      </c>
      <c r="C20" s="4" t="s">
        <v>28</v>
      </c>
    </row>
    <row r="21" customFormat="false" ht="15" hidden="false" customHeight="true" outlineLevel="0" collapsed="false">
      <c r="A21" s="4" t="s">
        <v>29</v>
      </c>
      <c r="B21" s="7" t="n">
        <v>0.05</v>
      </c>
      <c r="C21" s="4" t="s">
        <v>30</v>
      </c>
    </row>
    <row r="22" customFormat="false" ht="15" hidden="false" customHeight="true" outlineLevel="0" collapsed="false">
      <c r="A22" s="4" t="s">
        <v>31</v>
      </c>
      <c r="B22" s="8" t="n">
        <v>0.5</v>
      </c>
      <c r="C22" s="4" t="s">
        <v>32</v>
      </c>
    </row>
    <row r="23" customFormat="false" ht="15" hidden="false" customHeight="true" outlineLevel="0" collapsed="false">
      <c r="A23" s="4" t="s">
        <v>33</v>
      </c>
      <c r="B23" s="5" t="n">
        <v>400</v>
      </c>
      <c r="C23" s="4" t="s">
        <v>11</v>
      </c>
    </row>
    <row r="25" customFormat="false" ht="15" hidden="false" customHeight="true" outlineLevel="0" collapsed="false">
      <c r="A25" s="3" t="s">
        <v>34</v>
      </c>
      <c r="B25" s="3"/>
      <c r="C25" s="3"/>
    </row>
    <row r="26" customFormat="false" ht="15" hidden="false" customHeight="true" outlineLevel="0" collapsed="false">
      <c r="A26" s="4" t="s">
        <v>35</v>
      </c>
      <c r="B26" s="6" t="n">
        <v>20000</v>
      </c>
      <c r="C26" s="9" t="s">
        <v>36</v>
      </c>
    </row>
    <row r="27" customFormat="false" ht="15" hidden="false" customHeight="true" outlineLevel="0" collapsed="false">
      <c r="A27" s="4" t="s">
        <v>37</v>
      </c>
      <c r="B27" s="6" t="n">
        <v>60000</v>
      </c>
      <c r="C27" s="9" t="s">
        <v>38</v>
      </c>
    </row>
    <row r="28" customFormat="false" ht="15" hidden="false" customHeight="true" outlineLevel="0" collapsed="false">
      <c r="A28" s="4" t="s">
        <v>39</v>
      </c>
      <c r="B28" s="6" t="n">
        <v>250000</v>
      </c>
      <c r="C28" s="9" t="s">
        <v>40</v>
      </c>
    </row>
    <row r="30" customFormat="false" ht="15" hidden="false" customHeight="true" outlineLevel="0" collapsed="false">
      <c r="A30" s="3" t="s">
        <v>41</v>
      </c>
      <c r="B30" s="3"/>
      <c r="C30" s="3"/>
    </row>
    <row r="31" customFormat="false" ht="15" hidden="false" customHeight="true" outlineLevel="0" collapsed="false">
      <c r="A31" s="4" t="s">
        <v>42</v>
      </c>
      <c r="B31" s="6" t="n">
        <v>32</v>
      </c>
      <c r="C31" s="4" t="s">
        <v>43</v>
      </c>
    </row>
    <row r="32" customFormat="false" ht="15" hidden="false" customHeight="true" outlineLevel="0" collapsed="false">
      <c r="A32" s="4" t="s">
        <v>44</v>
      </c>
      <c r="B32" s="6" t="n">
        <v>6</v>
      </c>
      <c r="C32" s="4" t="s">
        <v>43</v>
      </c>
    </row>
    <row r="33" customFormat="false" ht="15" hidden="false" customHeight="true" outlineLevel="0" collapsed="false">
      <c r="A33" s="4" t="s">
        <v>45</v>
      </c>
      <c r="B33" s="6" t="n">
        <v>4</v>
      </c>
      <c r="C33" s="4" t="s">
        <v>46</v>
      </c>
    </row>
    <row r="34" customFormat="false" ht="15" hidden="false" customHeight="true" outlineLevel="0" collapsed="false">
      <c r="A34" s="4" t="s">
        <v>47</v>
      </c>
      <c r="B34" s="6" t="n">
        <v>1</v>
      </c>
      <c r="C34" s="4" t="s">
        <v>43</v>
      </c>
    </row>
    <row r="36" customFormat="false" ht="15" hidden="false" customHeight="true" outlineLevel="0" collapsed="false">
      <c r="A36" s="3" t="s">
        <v>48</v>
      </c>
      <c r="B36" s="3"/>
      <c r="C36" s="3"/>
    </row>
    <row r="37" customFormat="false" ht="15" hidden="false" customHeight="true" outlineLevel="0" collapsed="false">
      <c r="A37" s="4" t="s">
        <v>49</v>
      </c>
      <c r="B37" s="5" t="n">
        <v>300</v>
      </c>
      <c r="C37" s="4" t="s">
        <v>50</v>
      </c>
    </row>
    <row r="38" customFormat="false" ht="15" hidden="false" customHeight="true" outlineLevel="0" collapsed="false">
      <c r="A38" s="4" t="s">
        <v>51</v>
      </c>
      <c r="B38" s="5" t="n">
        <v>1000</v>
      </c>
      <c r="C38" s="4" t="s">
        <v>52</v>
      </c>
    </row>
    <row r="39" customFormat="false" ht="15" hidden="false" customHeight="true" outlineLevel="0" collapsed="false">
      <c r="A39" s="4" t="s">
        <v>53</v>
      </c>
      <c r="B39" s="6" t="n">
        <v>2</v>
      </c>
      <c r="C39" s="4" t="s">
        <v>54</v>
      </c>
    </row>
    <row r="40" customFormat="false" ht="15" hidden="false" customHeight="true" outlineLevel="0" collapsed="false">
      <c r="A40" s="4" t="s">
        <v>55</v>
      </c>
      <c r="B40" s="6" t="n">
        <v>5</v>
      </c>
      <c r="C40" s="4" t="s">
        <v>56</v>
      </c>
    </row>
    <row r="42" customFormat="false" ht="15" hidden="false" customHeight="true" outlineLevel="0" collapsed="false">
      <c r="A42" s="3" t="s">
        <v>57</v>
      </c>
      <c r="B42" s="3"/>
      <c r="C42" s="3"/>
      <c r="D42" s="3"/>
      <c r="E42" s="3"/>
      <c r="F42" s="3"/>
    </row>
    <row r="43" customFormat="false" ht="15" hidden="false" customHeight="true" outlineLevel="0" collapsed="false">
      <c r="A43" s="4" t="s">
        <v>58</v>
      </c>
      <c r="B43" s="6" t="n">
        <v>2</v>
      </c>
      <c r="C43" s="6" t="n">
        <v>4</v>
      </c>
      <c r="D43" s="6" t="n">
        <v>6</v>
      </c>
      <c r="E43" s="6" t="n">
        <v>8</v>
      </c>
      <c r="F43" s="6" t="n">
        <v>10</v>
      </c>
    </row>
    <row r="44" customFormat="false" ht="15" hidden="false" customHeight="true" outlineLevel="0" collapsed="false">
      <c r="A44" s="4" t="s">
        <v>59</v>
      </c>
      <c r="B44" s="6" t="n">
        <v>24</v>
      </c>
      <c r="C44" s="4" t="s">
        <v>43</v>
      </c>
    </row>
    <row r="45" customFormat="false" ht="15" hidden="false" customHeight="true" outlineLevel="0" collapsed="false">
      <c r="A45" s="4" t="s">
        <v>60</v>
      </c>
      <c r="B45" s="6" t="n">
        <v>3</v>
      </c>
      <c r="C45" s="4" t="s">
        <v>43</v>
      </c>
    </row>
    <row r="46" customFormat="false" ht="15" hidden="false" customHeight="true" outlineLevel="0" collapsed="false">
      <c r="A46" s="4" t="s">
        <v>61</v>
      </c>
      <c r="B46" s="6" t="n">
        <v>80000</v>
      </c>
      <c r="C46" s="4" t="s">
        <v>62</v>
      </c>
    </row>
    <row r="48" customFormat="false" ht="15" hidden="false" customHeight="true" outlineLevel="0" collapsed="false">
      <c r="A48" s="3" t="s">
        <v>63</v>
      </c>
      <c r="B48" s="10"/>
      <c r="C48" s="10"/>
    </row>
    <row r="49" customFormat="false" ht="15" hidden="false" customHeight="true" outlineLevel="0" collapsed="false">
      <c r="A49" s="4" t="s">
        <v>64</v>
      </c>
      <c r="B49" s="6" t="n">
        <v>112</v>
      </c>
      <c r="C49" s="1" t="s">
        <v>65</v>
      </c>
    </row>
    <row r="50" customFormat="false" ht="15" hidden="false" customHeight="true" outlineLevel="0" collapsed="false">
      <c r="A50" s="4" t="s">
        <v>66</v>
      </c>
      <c r="B50" s="6" t="n">
        <v>200</v>
      </c>
      <c r="C50" s="1" t="s">
        <v>67</v>
      </c>
    </row>
    <row r="51" customFormat="false" ht="15" hidden="false" customHeight="true" outlineLevel="0" collapsed="false">
      <c r="A51" s="4" t="s">
        <v>68</v>
      </c>
      <c r="B51" s="11" t="n">
        <f aca="false">B49*B50</f>
        <v>22400</v>
      </c>
      <c r="C51" s="1" t="s">
        <v>69</v>
      </c>
    </row>
    <row r="52" customFormat="false" ht="15" hidden="false" customHeight="true" outlineLevel="0" collapsed="false">
      <c r="A52" s="4" t="s">
        <v>70</v>
      </c>
      <c r="B52" s="6" t="n">
        <v>15000</v>
      </c>
      <c r="C52" s="1" t="s">
        <v>71</v>
      </c>
    </row>
    <row r="53" customFormat="false" ht="15" hidden="false" customHeight="true" outlineLevel="0" collapsed="false">
      <c r="A53" s="4" t="s">
        <v>72</v>
      </c>
      <c r="B53" s="6" t="n">
        <v>15000</v>
      </c>
      <c r="C53" s="1" t="s">
        <v>73</v>
      </c>
    </row>
    <row r="54" customFormat="false" ht="15" hidden="false" customHeight="true" outlineLevel="0" collapsed="false">
      <c r="A54" s="12" t="s">
        <v>74</v>
      </c>
      <c r="B54" s="11" t="n">
        <f aca="false">B51+B52+B53</f>
        <v>52400</v>
      </c>
      <c r="C54" s="1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4"/>
    <col collapsed="false" customWidth="true" hidden="false" outlineLevel="0" max="7" min="3" style="1" width="16"/>
  </cols>
  <sheetData>
    <row r="1" customFormat="false" ht="15.75" hidden="false" customHeight="true" outlineLevel="0" collapsed="false">
      <c r="A1" s="2" t="s">
        <v>76</v>
      </c>
    </row>
    <row r="3" customFormat="false" ht="15" hidden="false" customHeight="true" outlineLevel="0" collapsed="false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3" t="s">
        <v>82</v>
      </c>
      <c r="G3" s="3" t="s">
        <v>83</v>
      </c>
    </row>
    <row r="4" customFormat="false" ht="15" hidden="false" customHeight="true" outlineLevel="0" collapsed="false">
      <c r="A4" s="4" t="s">
        <v>84</v>
      </c>
      <c r="B4" s="4" t="s">
        <v>85</v>
      </c>
      <c r="C4" s="13" t="n">
        <f aca="false">Assumptions!B4+Assumptions!B5</f>
        <v>115</v>
      </c>
      <c r="D4" s="13" t="n">
        <f aca="false">Assumptions!B6</f>
        <v>250</v>
      </c>
      <c r="F4" s="14" t="n">
        <f aca="false">D4-C4</f>
        <v>135</v>
      </c>
      <c r="G4" s="15" t="n">
        <f aca="false">F4/D4</f>
        <v>0.54</v>
      </c>
    </row>
    <row r="5" customFormat="false" ht="15" hidden="false" customHeight="true" outlineLevel="0" collapsed="false">
      <c r="A5" s="4" t="s">
        <v>86</v>
      </c>
      <c r="B5" s="4" t="s">
        <v>87</v>
      </c>
      <c r="C5" s="13" t="n">
        <f aca="false">Assumptions!B7</f>
        <v>250</v>
      </c>
      <c r="E5" s="13" t="n">
        <f aca="false">Assumptions!B8</f>
        <v>25</v>
      </c>
      <c r="F5" s="14" t="n">
        <f aca="false">E5*12-C5/Assumptions!B40</f>
        <v>250</v>
      </c>
      <c r="G5" s="15" t="n">
        <f aca="false">F5/(E5*12)</f>
        <v>0.833333333333333</v>
      </c>
    </row>
    <row r="6" customFormat="false" ht="15" hidden="false" customHeight="true" outlineLevel="0" collapsed="false">
      <c r="A6" s="4" t="s">
        <v>47</v>
      </c>
      <c r="B6" s="4" t="s">
        <v>88</v>
      </c>
      <c r="C6" s="13" t="n">
        <f aca="false">Assumptions!B9</f>
        <v>400</v>
      </c>
      <c r="E6" s="13" t="n">
        <f aca="false">Assumptions!B10</f>
        <v>50</v>
      </c>
      <c r="F6" s="14" t="n">
        <f aca="false">E6*12-C6/Assumptions!B40</f>
        <v>520</v>
      </c>
      <c r="G6" s="15" t="n">
        <f aca="false">F6/(E6*12)</f>
        <v>0.866666666666667</v>
      </c>
    </row>
    <row r="7" customFormat="false" ht="15" hidden="false" customHeight="true" outlineLevel="0" collapsed="false">
      <c r="A7" s="4" t="s">
        <v>89</v>
      </c>
      <c r="B7" s="4" t="s">
        <v>90</v>
      </c>
      <c r="C7" s="13" t="n">
        <f aca="false">Assumptions!B14*Assumptions!B16+Assumptions!B15</f>
        <v>1300</v>
      </c>
      <c r="D7" s="13" t="n">
        <f aca="false">Assumptions!B14*Assumptions!B13+Assumptions!B15</f>
        <v>2900</v>
      </c>
      <c r="F7" s="14" t="n">
        <f aca="false">D7-C7</f>
        <v>1600</v>
      </c>
      <c r="G7" s="15" t="n">
        <f aca="false">F7/D7</f>
        <v>0.551724137931035</v>
      </c>
    </row>
    <row r="9" customFormat="false" ht="15" hidden="false" customHeight="true" outlineLevel="0" collapsed="false">
      <c r="A9" s="9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7" min="2" style="1" width="13"/>
  </cols>
  <sheetData>
    <row r="1" customFormat="false" ht="15.75" hidden="false" customHeight="true" outlineLevel="0" collapsed="false">
      <c r="A1" s="2" t="s">
        <v>92</v>
      </c>
    </row>
    <row r="3" customFormat="false" ht="15" hidden="false" customHeight="true" outlineLevel="0" collapsed="false">
      <c r="A3" s="3" t="s">
        <v>93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2" t="s">
        <v>77</v>
      </c>
      <c r="B4" s="12" t="s">
        <v>94</v>
      </c>
      <c r="C4" s="12" t="s">
        <v>95</v>
      </c>
      <c r="D4" s="12" t="s">
        <v>96</v>
      </c>
      <c r="E4" s="12" t="s">
        <v>97</v>
      </c>
      <c r="F4" s="12" t="s">
        <v>98</v>
      </c>
      <c r="G4" s="12" t="s">
        <v>99</v>
      </c>
    </row>
    <row r="5" customFormat="false" ht="15" hidden="false" customHeight="true" outlineLevel="0" collapsed="false">
      <c r="A5" s="4" t="s">
        <v>100</v>
      </c>
      <c r="B5" s="16" t="n">
        <f aca="false">Assumptions!B31+Assumptions!B32</f>
        <v>38</v>
      </c>
      <c r="C5" s="13" t="n">
        <f aca="false">Assumptions!B6</f>
        <v>250</v>
      </c>
      <c r="D5" s="14" t="n">
        <f aca="false">B5*C5</f>
        <v>9500</v>
      </c>
      <c r="E5" s="13" t="n">
        <f aca="false">Inventory!C4</f>
        <v>115</v>
      </c>
      <c r="F5" s="14" t="n">
        <f aca="false">B5*E5</f>
        <v>4370</v>
      </c>
      <c r="G5" s="14" t="n">
        <f aca="false">D5-F5</f>
        <v>5130</v>
      </c>
    </row>
    <row r="6" customFormat="false" ht="15" hidden="false" customHeight="true" outlineLevel="0" collapsed="false">
      <c r="A6" s="4" t="s">
        <v>89</v>
      </c>
      <c r="B6" s="17" t="n">
        <v>1</v>
      </c>
      <c r="C6" s="13" t="n">
        <f aca="false">Inventory!D7</f>
        <v>2900</v>
      </c>
      <c r="D6" s="14" t="n">
        <f aca="false">B6*C6</f>
        <v>2900</v>
      </c>
      <c r="E6" s="13" t="n">
        <f aca="false">Inventory!C7</f>
        <v>1300</v>
      </c>
      <c r="F6" s="14" t="n">
        <f aca="false">B6*E6</f>
        <v>1300</v>
      </c>
      <c r="G6" s="14" t="n">
        <f aca="false">D6-F6</f>
        <v>1600</v>
      </c>
    </row>
    <row r="7" customFormat="false" ht="15" hidden="false" customHeight="true" outlineLevel="0" collapsed="false">
      <c r="A7" s="4" t="s">
        <v>101</v>
      </c>
      <c r="F7" s="13" t="n">
        <f aca="false">Assumptions!B33*Assumptions!B7+Assumptions!B34*Assumptions!B9</f>
        <v>1400</v>
      </c>
      <c r="G7" s="14" t="n">
        <f aca="false">-F7</f>
        <v>-1400</v>
      </c>
    </row>
    <row r="8" customFormat="false" ht="15" hidden="false" customHeight="true" outlineLevel="0" collapsed="false">
      <c r="A8" s="12" t="s">
        <v>102</v>
      </c>
      <c r="D8" s="18" t="n">
        <f aca="false">SUM(D5:D7)</f>
        <v>12400</v>
      </c>
      <c r="F8" s="18" t="n">
        <f aca="false">SUM(F5:F7)</f>
        <v>7070</v>
      </c>
      <c r="G8" s="18" t="n">
        <f aca="false">SUM(G5:G7)</f>
        <v>5330</v>
      </c>
    </row>
    <row r="10" customFormat="false" ht="15" hidden="false" customHeight="true" outlineLevel="0" collapsed="false">
      <c r="A10" s="3" t="s">
        <v>103</v>
      </c>
      <c r="B10" s="3"/>
      <c r="C10" s="3"/>
      <c r="D10" s="3"/>
    </row>
    <row r="11" customFormat="false" ht="15" hidden="false" customHeight="true" outlineLevel="0" collapsed="false">
      <c r="B11" s="12" t="s">
        <v>104</v>
      </c>
      <c r="C11" s="12" t="s">
        <v>105</v>
      </c>
      <c r="D11" s="12" t="s">
        <v>106</v>
      </c>
    </row>
    <row r="12" customFormat="false" ht="15" hidden="false" customHeight="true" outlineLevel="0" collapsed="false">
      <c r="A12" s="4" t="s">
        <v>107</v>
      </c>
      <c r="B12" s="16" t="n">
        <f aca="false">Assumptions!B26</f>
        <v>20000</v>
      </c>
      <c r="C12" s="16" t="n">
        <f aca="false">Assumptions!B27</f>
        <v>60000</v>
      </c>
      <c r="D12" s="16" t="n">
        <f aca="false">Assumptions!B28</f>
        <v>250000</v>
      </c>
    </row>
    <row r="13" customFormat="false" ht="15" hidden="false" customHeight="true" outlineLevel="0" collapsed="false">
      <c r="A13" s="4" t="s">
        <v>108</v>
      </c>
      <c r="B13" s="13" t="n">
        <f aca="false">Assumptions!$B$19*12</f>
        <v>600</v>
      </c>
      <c r="C13" s="13" t="n">
        <f aca="false">Assumptions!$B$19*12</f>
        <v>600</v>
      </c>
      <c r="D13" s="13" t="n">
        <f aca="false">Assumptions!$B$19*12</f>
        <v>600</v>
      </c>
    </row>
    <row r="14" customFormat="false" ht="15" hidden="false" customHeight="true" outlineLevel="0" collapsed="false">
      <c r="A14" s="4" t="s">
        <v>109</v>
      </c>
      <c r="B14" s="13" t="n">
        <f aca="false">Assumptions!$B$33*Assumptions!$B$8*12</f>
        <v>1200</v>
      </c>
      <c r="C14" s="13" t="n">
        <f aca="false">Assumptions!$B$33*Assumptions!$B$8*12</f>
        <v>1200</v>
      </c>
      <c r="D14" s="13" t="n">
        <f aca="false">Assumptions!$B$33*Assumptions!$B$8*12</f>
        <v>1200</v>
      </c>
    </row>
    <row r="15" customFormat="false" ht="15" hidden="false" customHeight="true" outlineLevel="0" collapsed="false">
      <c r="A15" s="4" t="s">
        <v>110</v>
      </c>
      <c r="B15" s="13" t="n">
        <f aca="false">Assumptions!$B$34*Assumptions!$B$10*12</f>
        <v>600</v>
      </c>
      <c r="C15" s="13" t="n">
        <f aca="false">Assumptions!$B$34*Assumptions!$B$10*12</f>
        <v>600</v>
      </c>
      <c r="D15" s="13" t="n">
        <f aca="false">Assumptions!$B$34*Assumptions!$B$10*12</f>
        <v>600</v>
      </c>
    </row>
    <row r="16" customFormat="false" ht="15" hidden="false" customHeight="true" outlineLevel="0" collapsed="false">
      <c r="A16" s="4" t="s">
        <v>111</v>
      </c>
      <c r="B16" s="14" t="n">
        <f aca="false">B12*Assumptions!$B$20</f>
        <v>400</v>
      </c>
      <c r="C16" s="14" t="n">
        <f aca="false">C12*Assumptions!$B$20</f>
        <v>1200</v>
      </c>
      <c r="D16" s="14" t="n">
        <f aca="false">D12*Assumptions!$B$20</f>
        <v>5000</v>
      </c>
    </row>
    <row r="17" customFormat="false" ht="15" hidden="false" customHeight="true" outlineLevel="0" collapsed="false">
      <c r="A17" s="12" t="s">
        <v>112</v>
      </c>
      <c r="B17" s="18" t="n">
        <f aca="false">SUM(B13:B16)</f>
        <v>2800</v>
      </c>
      <c r="C17" s="18" t="n">
        <f aca="false">SUM(C13:C16)</f>
        <v>3600</v>
      </c>
      <c r="D17" s="18" t="n">
        <f aca="false">SUM(D13:D16)</f>
        <v>7400</v>
      </c>
    </row>
    <row r="18" customFormat="false" ht="15" hidden="false" customHeight="true" outlineLevel="0" collapsed="false">
      <c r="A18" s="4" t="s">
        <v>113</v>
      </c>
      <c r="B18" s="14" t="n">
        <f aca="false">Assumptions!$B$37+Assumptions!$B$38+Assumptions!$B$39*Inventory!$C$4+(Assumptions!$B$33*Assumptions!$B$7+Assumptions!$B$34*Assumptions!$B$9)/Assumptions!$B$40</f>
        <v>1810</v>
      </c>
      <c r="C18" s="14" t="n">
        <f aca="false">Assumptions!$B$37+Assumptions!$B$38+Assumptions!$B$39*Inventory!$C$4+(Assumptions!$B$33*Assumptions!$B$7+Assumptions!$B$34*Assumptions!$B$9)/Assumptions!$B$40</f>
        <v>1810</v>
      </c>
      <c r="D18" s="14" t="n">
        <f aca="false">Assumptions!$B$37+Assumptions!$B$38+Assumptions!$B$39*Inventory!$C$4+(Assumptions!$B$33*Assumptions!$B$7+Assumptions!$B$34*Assumptions!$B$9)/Assumptions!$B$40</f>
        <v>1810</v>
      </c>
    </row>
    <row r="19" customFormat="false" ht="15" hidden="false" customHeight="true" outlineLevel="0" collapsed="false">
      <c r="A19" s="12" t="s">
        <v>114</v>
      </c>
      <c r="B19" s="18" t="n">
        <f aca="false">B17-B18</f>
        <v>990</v>
      </c>
      <c r="C19" s="18" t="n">
        <f aca="false">C17-C18</f>
        <v>1790</v>
      </c>
      <c r="D19" s="18" t="n">
        <f aca="false">D17-D18</f>
        <v>5590</v>
      </c>
    </row>
    <row r="20" customFormat="false" ht="15" hidden="false" customHeight="true" outlineLevel="0" collapsed="false">
      <c r="A20" s="4" t="s">
        <v>83</v>
      </c>
      <c r="B20" s="15" t="n">
        <f aca="false">B19/B17</f>
        <v>0.353571428571429</v>
      </c>
      <c r="C20" s="15" t="n">
        <f aca="false">C19/C17</f>
        <v>0.497222222222222</v>
      </c>
      <c r="D20" s="15" t="n">
        <f aca="false">D19/D17</f>
        <v>0.755405405405405</v>
      </c>
    </row>
    <row r="22" customFormat="false" ht="15" hidden="false" customHeight="true" outlineLevel="0" collapsed="false">
      <c r="A22" s="3" t="s">
        <v>115</v>
      </c>
      <c r="B22" s="3"/>
      <c r="C22" s="3"/>
      <c r="D22" s="3"/>
    </row>
    <row r="23" customFormat="false" ht="15" hidden="false" customHeight="true" outlineLevel="0" collapsed="false">
      <c r="A23" s="4" t="s">
        <v>116</v>
      </c>
      <c r="B23" s="14" t="n">
        <f aca="false">D8</f>
        <v>12400</v>
      </c>
    </row>
    <row r="24" customFormat="false" ht="15" hidden="false" customHeight="true" outlineLevel="0" collapsed="false">
      <c r="A24" s="4" t="s">
        <v>117</v>
      </c>
      <c r="B24" s="13" t="n">
        <f aca="false">B23*Assumptions!B22</f>
        <v>6200</v>
      </c>
    </row>
    <row r="25" customFormat="false" ht="15" hidden="false" customHeight="true" outlineLevel="0" collapsed="false">
      <c r="A25" s="4" t="s">
        <v>118</v>
      </c>
      <c r="B25" s="14" t="n">
        <f aca="false">B23-B24</f>
        <v>6200</v>
      </c>
    </row>
    <row r="26" customFormat="false" ht="15" hidden="false" customHeight="true" outlineLevel="0" collapsed="false">
      <c r="A26" s="4" t="s">
        <v>119</v>
      </c>
      <c r="B26" s="19" t="n">
        <f aca="false">Assumptions!B21-Assumptions!B20</f>
        <v>0.03</v>
      </c>
    </row>
    <row r="27" customFormat="false" ht="15" hidden="false" customHeight="true" outlineLevel="0" collapsed="false">
      <c r="A27" s="4" t="s">
        <v>120</v>
      </c>
      <c r="B27" s="17" t="n">
        <f aca="false">B25/B26</f>
        <v>206666.666666667</v>
      </c>
    </row>
    <row r="28" customFormat="false" ht="15" hidden="false" customHeight="true" outlineLevel="0" collapsed="false">
      <c r="A28" s="4" t="s">
        <v>121</v>
      </c>
      <c r="B28" s="20" t="n">
        <f aca="false">$B$27/B12</f>
        <v>10.3333333333333</v>
      </c>
      <c r="C28" s="20" t="n">
        <f aca="false">$B$27/C12</f>
        <v>3.44444444444444</v>
      </c>
      <c r="D28" s="20" t="n">
        <f aca="false">$B$27/D12</f>
        <v>0.826666666666667</v>
      </c>
    </row>
    <row r="29" customFormat="false" ht="15" hidden="false" customHeight="true" outlineLevel="0" collapsed="false">
      <c r="A29" s="4" t="s">
        <v>122</v>
      </c>
      <c r="B29" s="20" t="n">
        <f aca="false">B25/Assumptions!B23</f>
        <v>15.5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3"/>
  </cols>
  <sheetData>
    <row r="1" customFormat="false" ht="15.75" hidden="false" customHeight="true" outlineLevel="0" collapsed="false">
      <c r="A1" s="2" t="s">
        <v>123</v>
      </c>
    </row>
    <row r="3" customFormat="false" ht="15" hidden="false" customHeight="true" outlineLevel="0" collapsed="false">
      <c r="A3" s="12" t="s">
        <v>124</v>
      </c>
      <c r="B3" s="12" t="s">
        <v>125</v>
      </c>
      <c r="C3" s="12" t="s">
        <v>126</v>
      </c>
      <c r="D3" s="12" t="s">
        <v>127</v>
      </c>
      <c r="E3" s="12" t="s">
        <v>128</v>
      </c>
      <c r="F3" s="12" t="s">
        <v>129</v>
      </c>
    </row>
    <row r="4" customFormat="false" ht="15" hidden="false" customHeight="true" outlineLevel="0" collapsed="false">
      <c r="A4" s="4" t="s">
        <v>130</v>
      </c>
      <c r="B4" s="16" t="n">
        <f aca="false">Assumptions!B43</f>
        <v>2</v>
      </c>
      <c r="C4" s="16" t="n">
        <f aca="false">Assumptions!C43</f>
        <v>4</v>
      </c>
      <c r="D4" s="16" t="n">
        <f aca="false">Assumptions!D43</f>
        <v>6</v>
      </c>
      <c r="E4" s="16" t="n">
        <f aca="false">Assumptions!E43</f>
        <v>8</v>
      </c>
      <c r="F4" s="16" t="n">
        <f aca="false">Assumptions!F43</f>
        <v>10</v>
      </c>
    </row>
    <row r="5" customFormat="false" ht="15" hidden="false" customHeight="true" outlineLevel="0" collapsed="false">
      <c r="A5" s="4" t="s">
        <v>131</v>
      </c>
      <c r="B5" s="17" t="n">
        <f aca="false">B4</f>
        <v>2</v>
      </c>
      <c r="C5" s="17" t="n">
        <f aca="false">B5+C4</f>
        <v>6</v>
      </c>
      <c r="D5" s="17" t="n">
        <f aca="false">C5+D4</f>
        <v>12</v>
      </c>
      <c r="E5" s="17" t="n">
        <f aca="false">D5+E4</f>
        <v>20</v>
      </c>
      <c r="F5" s="17" t="n">
        <f aca="false">E5+F4</f>
        <v>30</v>
      </c>
    </row>
    <row r="6" customFormat="false" ht="15" hidden="false" customHeight="true" outlineLevel="0" collapsed="false">
      <c r="A6" s="4" t="s">
        <v>132</v>
      </c>
      <c r="B6" s="20" t="n">
        <f aca="false">B5-0.5*B4</f>
        <v>1</v>
      </c>
      <c r="C6" s="20" t="n">
        <f aca="false">C5-0.5*C4</f>
        <v>4</v>
      </c>
      <c r="D6" s="20" t="n">
        <f aca="false">D5-0.5*D4</f>
        <v>9</v>
      </c>
      <c r="E6" s="20" t="n">
        <f aca="false">E5-0.5*E4</f>
        <v>16</v>
      </c>
      <c r="F6" s="20" t="n">
        <f aca="false">F5-0.5*F4</f>
        <v>25</v>
      </c>
    </row>
    <row r="8" customFormat="false" ht="15" hidden="false" customHeight="true" outlineLevel="0" collapsed="false">
      <c r="A8" s="3" t="s">
        <v>133</v>
      </c>
      <c r="B8" s="3"/>
      <c r="C8" s="3"/>
      <c r="D8" s="3"/>
      <c r="E8" s="3"/>
      <c r="F8" s="3"/>
    </row>
    <row r="9" customFormat="false" ht="15" hidden="false" customHeight="true" outlineLevel="0" collapsed="false">
      <c r="A9" s="4" t="s">
        <v>96</v>
      </c>
      <c r="B9" s="14" t="n">
        <f aca="false">B4*(Assumptions!$B$44*Assumptions!$B$6+Inventory!$D$7)</f>
        <v>17800</v>
      </c>
      <c r="C9" s="14" t="n">
        <f aca="false">C4*(Assumptions!$B$44*Assumptions!$B$6+Inventory!$D$7)</f>
        <v>35600</v>
      </c>
      <c r="D9" s="14" t="n">
        <f aca="false">D4*(Assumptions!$B$44*Assumptions!$B$6+Inventory!$D$7)</f>
        <v>53400</v>
      </c>
      <c r="E9" s="14" t="n">
        <f aca="false">E4*(Assumptions!$B$44*Assumptions!$B$6+Inventory!$D$7)</f>
        <v>71200</v>
      </c>
      <c r="F9" s="14" t="n">
        <f aca="false">F4*(Assumptions!$B$44*Assumptions!$B$6+Inventory!$D$7)</f>
        <v>89000</v>
      </c>
    </row>
    <row r="10" customFormat="false" ht="15" hidden="false" customHeight="true" outlineLevel="0" collapsed="false">
      <c r="A10" s="4" t="s">
        <v>134</v>
      </c>
      <c r="B10" s="14" t="n">
        <f aca="false">B4*(Assumptions!$B$44*Inventory!$C$4+Inventory!$C$7+Assumptions!$B$45*Assumptions!$B$7+Assumptions!$B$9)</f>
        <v>10420</v>
      </c>
      <c r="C10" s="14" t="n">
        <f aca="false">C4*(Assumptions!$B$44*Inventory!$C$4+Inventory!$C$7+Assumptions!$B$45*Assumptions!$B$7+Assumptions!$B$9)</f>
        <v>20840</v>
      </c>
      <c r="D10" s="14" t="n">
        <f aca="false">D4*(Assumptions!$B$44*Inventory!$C$4+Inventory!$C$7+Assumptions!$B$45*Assumptions!$B$7+Assumptions!$B$9)</f>
        <v>31260</v>
      </c>
      <c r="E10" s="14" t="n">
        <f aca="false">E4*(Assumptions!$B$44*Inventory!$C$4+Inventory!$C$7+Assumptions!$B$45*Assumptions!$B$7+Assumptions!$B$9)</f>
        <v>41680</v>
      </c>
      <c r="F10" s="14" t="n">
        <f aca="false">F4*(Assumptions!$B$44*Inventory!$C$4+Inventory!$C$7+Assumptions!$B$45*Assumptions!$B$7+Assumptions!$B$9)</f>
        <v>52100</v>
      </c>
    </row>
    <row r="11" customFormat="false" ht="15" hidden="false" customHeight="true" outlineLevel="0" collapsed="false">
      <c r="A11" s="12" t="s">
        <v>135</v>
      </c>
      <c r="B11" s="18" t="n">
        <f aca="false">B9-B10</f>
        <v>7380</v>
      </c>
      <c r="C11" s="18" t="n">
        <f aca="false">C9-C10</f>
        <v>14760</v>
      </c>
      <c r="D11" s="18" t="n">
        <f aca="false">D9-D10</f>
        <v>22140</v>
      </c>
      <c r="E11" s="18" t="n">
        <f aca="false">E9-E10</f>
        <v>29520</v>
      </c>
      <c r="F11" s="18" t="n">
        <f aca="false">F9-F10</f>
        <v>36900</v>
      </c>
    </row>
    <row r="13" customFormat="false" ht="15" hidden="false" customHeight="true" outlineLevel="0" collapsed="false">
      <c r="A13" s="3" t="s">
        <v>136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4" t="s">
        <v>96</v>
      </c>
      <c r="B14" s="14" t="n">
        <f aca="false">B6*(Assumptions!$B$19*12+Assumptions!$B$45*Assumptions!$B$8*12+Assumptions!$B$10*12+Assumptions!$B$46*Assumptions!$B$20)</f>
        <v>3700</v>
      </c>
      <c r="C14" s="14" t="n">
        <f aca="false">C6*(Assumptions!$B$19*12+Assumptions!$B$45*Assumptions!$B$8*12+Assumptions!$B$10*12+Assumptions!$B$46*Assumptions!$B$20)</f>
        <v>14800</v>
      </c>
      <c r="D14" s="14" t="n">
        <f aca="false">D6*(Assumptions!$B$19*12+Assumptions!$B$45*Assumptions!$B$8*12+Assumptions!$B$10*12+Assumptions!$B$46*Assumptions!$B$20)</f>
        <v>33300</v>
      </c>
      <c r="E14" s="14" t="n">
        <f aca="false">E6*(Assumptions!$B$19*12+Assumptions!$B$45*Assumptions!$B$8*12+Assumptions!$B$10*12+Assumptions!$B$46*Assumptions!$B$20)</f>
        <v>59200</v>
      </c>
      <c r="F14" s="14" t="n">
        <f aca="false">F6*(Assumptions!$B$19*12+Assumptions!$B$45*Assumptions!$B$8*12+Assumptions!$B$10*12+Assumptions!$B$46*Assumptions!$B$20)</f>
        <v>92500</v>
      </c>
    </row>
    <row r="15" customFormat="false" ht="15" hidden="false" customHeight="true" outlineLevel="0" collapsed="false">
      <c r="A15" s="4" t="s">
        <v>137</v>
      </c>
      <c r="B15" s="14" t="n">
        <f aca="false">B6*(Assumptions!$B$37+Assumptions!$B$38+Assumptions!$B$39*Inventory!$C$4)</f>
        <v>1530</v>
      </c>
      <c r="C15" s="14" t="n">
        <f aca="false">C6*(Assumptions!$B$37+Assumptions!$B$38+Assumptions!$B$39*Inventory!$C$4)</f>
        <v>6120</v>
      </c>
      <c r="D15" s="14" t="n">
        <f aca="false">D6*(Assumptions!$B$37+Assumptions!$B$38+Assumptions!$B$39*Inventory!$C$4)</f>
        <v>13770</v>
      </c>
      <c r="E15" s="14" t="n">
        <f aca="false">E6*(Assumptions!$B$37+Assumptions!$B$38+Assumptions!$B$39*Inventory!$C$4)</f>
        <v>24480</v>
      </c>
      <c r="F15" s="14" t="n">
        <f aca="false">F6*(Assumptions!$B$37+Assumptions!$B$38+Assumptions!$B$39*Inventory!$C$4)</f>
        <v>38250</v>
      </c>
    </row>
    <row r="16" customFormat="false" ht="15" hidden="false" customHeight="true" outlineLevel="0" collapsed="false">
      <c r="A16" s="12" t="s">
        <v>138</v>
      </c>
      <c r="B16" s="18" t="n">
        <f aca="false">B14-B15</f>
        <v>2170</v>
      </c>
      <c r="C16" s="18" t="n">
        <f aca="false">C14-C15</f>
        <v>8680</v>
      </c>
      <c r="D16" s="18" t="n">
        <f aca="false">D14-D15</f>
        <v>19530</v>
      </c>
      <c r="E16" s="18" t="n">
        <f aca="false">E14-E15</f>
        <v>34720</v>
      </c>
      <c r="F16" s="18" t="n">
        <f aca="false">F14-F15</f>
        <v>54250</v>
      </c>
    </row>
    <row r="18" customFormat="false" ht="15" hidden="false" customHeight="true" outlineLevel="0" collapsed="false">
      <c r="A18" s="12" t="s">
        <v>139</v>
      </c>
      <c r="B18" s="18" t="n">
        <f aca="false">B11+B16</f>
        <v>9550</v>
      </c>
      <c r="C18" s="18" t="n">
        <f aca="false">C11+C16</f>
        <v>23440</v>
      </c>
      <c r="D18" s="18" t="n">
        <f aca="false">D11+D16</f>
        <v>41670</v>
      </c>
      <c r="E18" s="18" t="n">
        <f aca="false">E11+E16</f>
        <v>64240</v>
      </c>
      <c r="F18" s="18" t="n">
        <f aca="false">F11+F16</f>
        <v>91150</v>
      </c>
    </row>
    <row r="19" customFormat="false" ht="15" hidden="false" customHeight="true" outlineLevel="0" collapsed="false">
      <c r="A19" s="12" t="s">
        <v>140</v>
      </c>
      <c r="B19" s="18" t="n">
        <f aca="false">B18</f>
        <v>9550</v>
      </c>
      <c r="C19" s="18" t="n">
        <f aca="false">B19+C18</f>
        <v>32990</v>
      </c>
      <c r="D19" s="18" t="n">
        <f aca="false">C19+D18</f>
        <v>74660</v>
      </c>
      <c r="E19" s="18" t="n">
        <f aca="false">D19+E18</f>
        <v>138900</v>
      </c>
      <c r="F19" s="18" t="n">
        <f aca="false">E19+F18</f>
        <v>230050</v>
      </c>
    </row>
    <row r="21" customFormat="false" ht="15" hidden="false" customHeight="true" outlineLevel="0" collapsed="false">
      <c r="A21" s="9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2026-07-10T15:49:52Z</dcterms:created>
  <dc:creator>openpyxl</dc:creator>
  <dc:description/>
  <dc:language>en-US</dc:language>
  <cp:lastModifiedBy/>
  <dcterms:modified xsi:type="dcterms:W3CDTF">2026-07-10T16:04:31Z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